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BM Degree Program\Research\project artefact\Project\"/>
    </mc:Choice>
  </mc:AlternateContent>
  <xr:revisionPtr revIDLastSave="0" documentId="13_ncr:1_{2D8B6E78-875C-433F-AA58-AF63BC974D0A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How to fill" sheetId="1" r:id="rId1"/>
    <sheet name="Tests" sheetId="2" r:id="rId2"/>
    <sheet name="Classification trials" sheetId="3" r:id="rId3"/>
    <sheet name="Summary" sheetId="4" r:id="rId4"/>
  </sheets>
  <definedNames>
    <definedName name="_xlnm._FilterDatabase" localSheetId="1" hidden="1">Tests!$A$1:$K$52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E5" i="4"/>
  <c r="D5" i="4"/>
  <c r="C5" i="4"/>
  <c r="F4" i="4"/>
  <c r="E4" i="4"/>
  <c r="D4" i="4"/>
  <c r="C4" i="4"/>
  <c r="F3" i="4"/>
  <c r="E3" i="4"/>
  <c r="D3" i="4"/>
  <c r="C3" i="4"/>
  <c r="F2" i="4"/>
  <c r="E2" i="4"/>
  <c r="D2" i="4"/>
  <c r="C2" i="4"/>
  <c r="D28" i="3"/>
  <c r="D27" i="3"/>
  <c r="D26" i="3"/>
  <c r="D25" i="3"/>
  <c r="D24" i="3"/>
  <c r="D23" i="3"/>
  <c r="F19" i="3"/>
  <c r="F18" i="3"/>
  <c r="F17" i="3"/>
  <c r="C28" i="3" s="1"/>
  <c r="F16" i="3"/>
  <c r="F15" i="3"/>
  <c r="F14" i="3"/>
  <c r="F13" i="3"/>
  <c r="F12" i="3"/>
  <c r="F11" i="3"/>
  <c r="F10" i="3"/>
  <c r="F9" i="3"/>
  <c r="F8" i="3"/>
  <c r="F7" i="3"/>
  <c r="F6" i="3"/>
  <c r="F5" i="3"/>
  <c r="C24" i="3" s="1"/>
  <c r="F4" i="3"/>
  <c r="F3" i="3"/>
  <c r="F2" i="3"/>
  <c r="C27" i="3" l="1"/>
  <c r="E27" i="3" s="1"/>
  <c r="E28" i="3"/>
  <c r="C26" i="3"/>
  <c r="E26" i="3" s="1"/>
  <c r="C25" i="3"/>
  <c r="E25" i="3" s="1"/>
  <c r="E24" i="3"/>
  <c r="C23" i="3"/>
  <c r="E23" i="3" s="1"/>
  <c r="E6" i="4"/>
  <c r="B4" i="4"/>
  <c r="G4" i="4" s="1"/>
  <c r="D6" i="4"/>
  <c r="B5" i="4"/>
  <c r="G5" i="4" s="1"/>
  <c r="F6" i="4"/>
  <c r="B3" i="4"/>
  <c r="G3" i="4" s="1"/>
  <c r="C6" i="4"/>
  <c r="B2" i="4"/>
  <c r="G2" i="4" l="1"/>
  <c r="B6" i="4"/>
  <c r="G6" i="4" s="1"/>
</calcChain>
</file>

<file path=xl/sharedStrings.xml><?xml version="1.0" encoding="utf-8"?>
<sst xmlns="http://schemas.openxmlformats.org/spreadsheetml/2006/main" count="493" uniqueCount="124">
  <si>
    <t>Functional test sheet – Landing Form Coach</t>
  </si>
  <si>
    <t>Thesis Tables 5.2 (test cases) and 5.3 (results by browser).</t>
  </si>
  <si>
    <t>1. Start the app with start_webapp.bat; place the camera 3 m away at hip height.</t>
  </si>
  <si>
    <t>2. On the 'Tests' sheet, do each test and fill only the YELLOW cells: actual result, status, notes, screenshot file name, tester and date.</t>
  </si>
  <si>
    <t>3. Status must be Pass, Fail, Partial or Not tested (drop-down). Write what really happened – a documented Fail is a valid result.</t>
  </si>
  <si>
    <t>4. TC07–TC09 (classification): do 3 trials each and record them on 'Classification trials'; then copy the result (e.g. '2 of 3 correct') into the Tests sheet.</t>
  </si>
  <si>
    <t>5. Safari does not run on Windows: set its rows to 'Not tested' with the note 'no Safari device'.</t>
  </si>
  <si>
    <t>6. Take one screenshot per test (Win + Shift + S) for Appendix E and write its file name.</t>
  </si>
  <si>
    <t>7. The 'Summary' sheet fills itself (Table 5.3). Send this file and your session CSV to Claude.</t>
  </si>
  <si>
    <t>Grey row on the Tests sheet = an example of how to fill a row. It is not counted in the summary.</t>
  </si>
  <si>
    <t>Yellow cells = cells to fill in.</t>
  </si>
  <si>
    <t>ID</t>
  </si>
  <si>
    <t>FR</t>
  </si>
  <si>
    <t>Browser</t>
  </si>
  <si>
    <t>What to do</t>
  </si>
  <si>
    <t>Expected result</t>
  </si>
  <si>
    <t>Actual result</t>
  </si>
  <si>
    <t>Status</t>
  </si>
  <si>
    <t>Notes</t>
  </si>
  <si>
    <t>Screenshot file</t>
  </si>
  <si>
    <t>Tester</t>
  </si>
  <si>
    <t>Date</t>
  </si>
  <si>
    <t>e.g. TC04</t>
  </si>
  <si>
    <t>FR3</t>
  </si>
  <si>
    <t>Chrome</t>
  </si>
  <si>
    <t>Do one box jump and land.</t>
  </si>
  <si>
    <t>Exactly one landing appears in History.</t>
  </si>
  <si>
    <t>One landing appeared, classified Good, cue after about 0.3 s.</t>
  </si>
  <si>
    <t>Pass</t>
  </si>
  <si>
    <t>TC04_chrome.png</t>
  </si>
  <si>
    <t>DC</t>
  </si>
  <si>
    <t>19/10/2026</t>
  </si>
  <si>
    <t>TC01</t>
  </si>
  <si>
    <t>FR1</t>
  </si>
  <si>
    <t>Run start_webapp.bat, open http://localhost:8000, press Start camera, choose Allow.</t>
  </si>
  <si>
    <t>Live camera view is shown with the skeleton overlay.</t>
  </si>
  <si>
    <t>TC02</t>
  </si>
  <si>
    <t>Block the camera (camera icon in the address bar), reload, press Start camera. Afterwards set it back to Allow.</t>
  </si>
  <si>
    <t>Message 'Camera access was blocked...' with a Try again button; no crash.</t>
  </si>
  <si>
    <t>TC03</t>
  </si>
  <si>
    <t>FR2</t>
  </si>
  <si>
    <t>Stand about 3 m away with the whole body in view.</t>
  </si>
  <si>
    <t>Skeleton follows the body; chip shows 'Ready: jump when you like'.</t>
  </si>
  <si>
    <t>TC04</t>
  </si>
  <si>
    <t>Do one box jump (or two-foot jump) and land.</t>
  </si>
  <si>
    <t>TC05</t>
  </si>
  <si>
    <t>Walk around and stand still for 30 s without jumping.</t>
  </si>
  <si>
    <t>No landing is added.</t>
  </si>
  <si>
    <t>TC06</t>
  </si>
  <si>
    <t>FR4</t>
  </si>
  <si>
    <t>Settings: turn on Researcher details. Do one landing.</t>
  </si>
  <si>
    <t>The History row shows FPPA and trunk angles for the landing.</t>
  </si>
  <si>
    <t>TC07</t>
  </si>
  <si>
    <t>FR5</t>
  </si>
  <si>
    <t>Land with good form (3 trials; record them on the 'Classification trials' sheet).</t>
  </si>
  <si>
    <t>'Good landing' shown and spoken.</t>
  </si>
  <si>
    <t>TC08</t>
  </si>
  <si>
    <t>Land with mild, deliberate knees-in (3 trials).</t>
  </si>
  <si>
    <t>'Knees caving in' shown; 'Knees out' spoken.</t>
  </si>
  <si>
    <t>TC09</t>
  </si>
  <si>
    <t>Land with a mild, deliberate sideways trunk lean (3 trials).</t>
  </si>
  <si>
    <t>'Leaning to the side' shown; 'Chest centred' spoken.</t>
  </si>
  <si>
    <t>TC10</t>
  </si>
  <si>
    <t>FR6</t>
  </si>
  <si>
    <t>Do 3 jumps in a row (ask a friend to watch or film).</t>
  </si>
  <si>
    <t>Each cue appears before the next take-off.</t>
  </si>
  <si>
    <t>TC11</t>
  </si>
  <si>
    <t>FR7</t>
  </si>
  <si>
    <t>With Researcher details on, do 5 jumps.</t>
  </si>
  <si>
    <t>5 History rows, each with model ms, landing-to-cue ms and (when detected) next take-off ms.</t>
  </si>
  <si>
    <t>TC12</t>
  </si>
  <si>
    <t>FR8</t>
  </si>
  <si>
    <t>Press End session, then Download CSV.</t>
  </si>
  <si>
    <t>Session summary appears; the CSV has one row per landing.</t>
  </si>
  <si>
    <t>Edge</t>
  </si>
  <si>
    <t>Firefox</t>
  </si>
  <si>
    <t>Safari</t>
  </si>
  <si>
    <t>Not tested</t>
  </si>
  <si>
    <t>No Safari device (Windows)</t>
  </si>
  <si>
    <t>TC13</t>
  </si>
  <si>
    <t>NFR6</t>
  </si>
  <si>
    <t>All</t>
  </si>
  <si>
    <t>Repeat TC01–TC12 on Chrome, Edge, Firefox and Safari (rows above).</t>
  </si>
  <si>
    <t>All cases pass on each browser.</t>
  </si>
  <si>
    <t>TC14</t>
  </si>
  <si>
    <t>NFR5</t>
  </si>
  <si>
    <t>F12 → Network tab; start a session and do a few jumps; look at every request.</t>
  </si>
  <si>
    <t>Only local files are loaded; no request sends images or video; no external servers.</t>
  </si>
  <si>
    <t>Test</t>
  </si>
  <si>
    <t>Trial</t>
  </si>
  <si>
    <t>Form performed</t>
  </si>
  <si>
    <t>App result (title shown)</t>
  </si>
  <si>
    <t>Correct?</t>
  </si>
  <si>
    <t>Confidence (%)</t>
  </si>
  <si>
    <t>Good landing</t>
  </si>
  <si>
    <t>Knees caving in</t>
  </si>
  <si>
    <t>Leaning to the side</t>
  </si>
  <si>
    <t>Correct trials (of those filled in)</t>
  </si>
  <si>
    <t>Correct</t>
  </si>
  <si>
    <t>Filled</t>
  </si>
  <si>
    <t>Result text</t>
  </si>
  <si>
    <t>Test cases run</t>
  </si>
  <si>
    <t>Passed</t>
  </si>
  <si>
    <t>Partial</t>
  </si>
  <si>
    <t>Failed</t>
  </si>
  <si>
    <t>Pass rate (of run)</t>
  </si>
  <si>
    <t>Total</t>
  </si>
  <si>
    <t>Counts come from the Status column of the Tests sheet (TC01–TC12 per browser; the grey example row is not counted). Pass rate = passed / (passed + partial + failed).</t>
  </si>
  <si>
    <t>One landing appeared</t>
  </si>
  <si>
    <t>One landing appeared and spoken</t>
  </si>
  <si>
    <t>landing appeared and kness out spoken</t>
  </si>
  <si>
    <t>landing appeared and chest centred spoken</t>
  </si>
  <si>
    <t>rows added showing the results</t>
  </si>
  <si>
    <t>summary appeared and CSV has one per row landing</t>
  </si>
  <si>
    <t>appears before the next take off</t>
  </si>
  <si>
    <t>yes showed with skelton</t>
  </si>
  <si>
    <t xml:space="preserve">showed message named camera was blocked </t>
  </si>
  <si>
    <t>showed ready jump message</t>
  </si>
  <si>
    <t>showed FPPA and trunk angles</t>
  </si>
  <si>
    <t>chrom and edge pass and safar not tested</t>
  </si>
  <si>
    <t>yes all files loaded locally</t>
  </si>
  <si>
    <t>no landing added now</t>
  </si>
  <si>
    <t>pass</t>
  </si>
  <si>
    <t>firefox not 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</si>
</sst>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color rgb="FFFFFFFF"/>
      <name val="Arial"/>
    </font>
    <font>
      <i/>
      <sz val="11"/>
      <color rgb="FF595959"/>
      <name val="Arial"/>
    </font>
    <font>
      <sz val="11"/>
      <name val="Arial"/>
    </font>
    <font>
      <b/>
      <sz val="11"/>
      <name val="Arial"/>
    </font>
    <font>
      <i/>
      <sz val="9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B6E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2" borderId="1" xfId="0" applyFont="1" applyFill="1" applyBorder="1"/>
    <xf numFmtId="0" fontId="6" fillId="0" borderId="0" xfId="0" applyFont="1"/>
    <xf numFmtId="164" fontId="5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10" customWidth="1"/>
  </cols>
  <sheetData>
    <row r="1" spans="1:1" ht="16.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workbookViewId="0">
      <pane xSplit="3" ySplit="1" topLeftCell="E28" activePane="bottomRight" state="frozen"/>
      <selection pane="topRight"/>
      <selection pane="bottomLeft"/>
      <selection pane="bottomRight" activeCell="H27" sqref="H27:H38"/>
    </sheetView>
  </sheetViews>
  <sheetFormatPr defaultRowHeight="15" x14ac:dyDescent="0.25"/>
  <cols>
    <col min="1" max="1" width="7" customWidth="1"/>
    <col min="2" max="2" width="6" customWidth="1"/>
    <col min="3" max="3" width="10" customWidth="1"/>
    <col min="4" max="4" width="46" customWidth="1"/>
    <col min="5" max="6" width="40" customWidth="1"/>
    <col min="7" max="7" width="12" customWidth="1"/>
    <col min="8" max="8" width="26" customWidth="1"/>
    <col min="9" max="9" width="18" customWidth="1"/>
    <col min="10" max="10" width="10" customWidth="1"/>
    <col min="11" max="11" width="12" customWidth="1"/>
  </cols>
  <sheetData>
    <row r="1" spans="1:1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spans="1:11" ht="28.5" x14ac:dyDescent="0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 t="s">
        <v>29</v>
      </c>
      <c r="J2" s="5" t="s">
        <v>30</v>
      </c>
      <c r="K2" s="5" t="s">
        <v>31</v>
      </c>
    </row>
    <row r="3" spans="1:11" ht="42.75" x14ac:dyDescent="0.25">
      <c r="A3" s="6" t="s">
        <v>32</v>
      </c>
      <c r="B3" s="6" t="s">
        <v>33</v>
      </c>
      <c r="C3" s="6" t="s">
        <v>24</v>
      </c>
      <c r="D3" s="6" t="s">
        <v>34</v>
      </c>
      <c r="E3" s="6" t="s">
        <v>35</v>
      </c>
      <c r="F3" s="7" t="s">
        <v>115</v>
      </c>
      <c r="G3" s="7" t="s">
        <v>28</v>
      </c>
      <c r="H3" s="7"/>
      <c r="I3" s="7"/>
      <c r="J3" s="7"/>
      <c r="K3" s="7"/>
    </row>
    <row r="4" spans="1:11" ht="42.75" x14ac:dyDescent="0.25">
      <c r="A4" s="6" t="s">
        <v>36</v>
      </c>
      <c r="B4" s="6" t="s">
        <v>33</v>
      </c>
      <c r="C4" s="6" t="s">
        <v>24</v>
      </c>
      <c r="D4" s="6" t="s">
        <v>37</v>
      </c>
      <c r="E4" s="6" t="s">
        <v>38</v>
      </c>
      <c r="F4" s="7" t="s">
        <v>116</v>
      </c>
      <c r="G4" s="7" t="s">
        <v>28</v>
      </c>
      <c r="H4" s="7"/>
      <c r="I4" s="7"/>
      <c r="J4" s="7"/>
      <c r="K4" s="7"/>
    </row>
    <row r="5" spans="1:11" ht="28.5" x14ac:dyDescent="0.25">
      <c r="A5" s="6" t="s">
        <v>39</v>
      </c>
      <c r="B5" s="6" t="s">
        <v>40</v>
      </c>
      <c r="C5" s="6" t="s">
        <v>24</v>
      </c>
      <c r="D5" s="6" t="s">
        <v>41</v>
      </c>
      <c r="E5" s="6" t="s">
        <v>42</v>
      </c>
      <c r="F5" s="7" t="s">
        <v>117</v>
      </c>
      <c r="G5" s="7" t="s">
        <v>28</v>
      </c>
      <c r="H5" s="7"/>
      <c r="I5" s="7"/>
      <c r="J5" s="7"/>
      <c r="K5" s="7"/>
    </row>
    <row r="6" spans="1:11" x14ac:dyDescent="0.25">
      <c r="A6" s="6" t="s">
        <v>43</v>
      </c>
      <c r="B6" s="6" t="s">
        <v>23</v>
      </c>
      <c r="C6" s="6" t="s">
        <v>24</v>
      </c>
      <c r="D6" s="6" t="s">
        <v>44</v>
      </c>
      <c r="E6" s="6" t="s">
        <v>26</v>
      </c>
      <c r="F6" s="7" t="s">
        <v>108</v>
      </c>
      <c r="G6" s="7" t="s">
        <v>28</v>
      </c>
      <c r="H6" s="7"/>
      <c r="I6" s="7"/>
      <c r="J6" s="7"/>
      <c r="K6" s="7"/>
    </row>
    <row r="7" spans="1:11" ht="28.5" x14ac:dyDescent="0.25">
      <c r="A7" s="6" t="s">
        <v>45</v>
      </c>
      <c r="B7" s="6" t="s">
        <v>23</v>
      </c>
      <c r="C7" s="6" t="s">
        <v>24</v>
      </c>
      <c r="D7" s="6" t="s">
        <v>46</v>
      </c>
      <c r="E7" s="6" t="s">
        <v>47</v>
      </c>
      <c r="F7" s="7" t="s">
        <v>121</v>
      </c>
      <c r="G7" s="15" t="s">
        <v>122</v>
      </c>
      <c r="H7" s="7"/>
      <c r="I7" s="7"/>
      <c r="J7" s="7"/>
      <c r="K7" s="7"/>
    </row>
    <row r="8" spans="1:11" ht="28.5" x14ac:dyDescent="0.25">
      <c r="A8" s="6" t="s">
        <v>48</v>
      </c>
      <c r="B8" s="6" t="s">
        <v>49</v>
      </c>
      <c r="C8" s="6" t="s">
        <v>24</v>
      </c>
      <c r="D8" s="6" t="s">
        <v>50</v>
      </c>
      <c r="E8" s="6" t="s">
        <v>51</v>
      </c>
      <c r="F8" s="7" t="s">
        <v>118</v>
      </c>
      <c r="G8" s="7" t="s">
        <v>28</v>
      </c>
      <c r="H8" s="7"/>
      <c r="I8" s="7"/>
      <c r="J8" s="7"/>
      <c r="K8" s="7"/>
    </row>
    <row r="9" spans="1:11" ht="28.5" x14ac:dyDescent="0.25">
      <c r="A9" s="6" t="s">
        <v>52</v>
      </c>
      <c r="B9" s="6" t="s">
        <v>53</v>
      </c>
      <c r="C9" s="6" t="s">
        <v>24</v>
      </c>
      <c r="D9" s="6" t="s">
        <v>54</v>
      </c>
      <c r="E9" s="6" t="s">
        <v>55</v>
      </c>
      <c r="F9" s="7" t="s">
        <v>109</v>
      </c>
      <c r="G9" s="7" t="s">
        <v>28</v>
      </c>
      <c r="H9" s="7"/>
      <c r="I9" s="7"/>
      <c r="J9" s="7"/>
      <c r="K9" s="7"/>
    </row>
    <row r="10" spans="1:11" ht="28.5" x14ac:dyDescent="0.25">
      <c r="A10" s="6" t="s">
        <v>56</v>
      </c>
      <c r="B10" s="6" t="s">
        <v>53</v>
      </c>
      <c r="C10" s="6" t="s">
        <v>24</v>
      </c>
      <c r="D10" s="6" t="s">
        <v>57</v>
      </c>
      <c r="E10" s="6" t="s">
        <v>58</v>
      </c>
      <c r="F10" s="7" t="s">
        <v>110</v>
      </c>
      <c r="G10" s="7" t="s">
        <v>28</v>
      </c>
      <c r="H10" s="7"/>
      <c r="I10" s="7"/>
      <c r="J10" s="7"/>
      <c r="K10" s="7"/>
    </row>
    <row r="11" spans="1:11" ht="28.5" x14ac:dyDescent="0.25">
      <c r="A11" s="6" t="s">
        <v>59</v>
      </c>
      <c r="B11" s="6" t="s">
        <v>53</v>
      </c>
      <c r="C11" s="6" t="s">
        <v>24</v>
      </c>
      <c r="D11" s="6" t="s">
        <v>60</v>
      </c>
      <c r="E11" s="6" t="s">
        <v>61</v>
      </c>
      <c r="F11" s="7" t="s">
        <v>111</v>
      </c>
      <c r="G11" s="7" t="s">
        <v>28</v>
      </c>
      <c r="H11" s="7"/>
      <c r="I11" s="7"/>
      <c r="J11" s="7"/>
      <c r="K11" s="7"/>
    </row>
    <row r="12" spans="1:11" ht="28.5" x14ac:dyDescent="0.25">
      <c r="A12" s="6" t="s">
        <v>62</v>
      </c>
      <c r="B12" s="6" t="s">
        <v>63</v>
      </c>
      <c r="C12" s="6" t="s">
        <v>24</v>
      </c>
      <c r="D12" s="6" t="s">
        <v>64</v>
      </c>
      <c r="E12" s="6" t="s">
        <v>65</v>
      </c>
      <c r="F12" s="7" t="s">
        <v>114</v>
      </c>
      <c r="G12" s="7" t="s">
        <v>28</v>
      </c>
      <c r="H12" s="7"/>
      <c r="I12" s="7"/>
      <c r="J12" s="7"/>
      <c r="K12" s="7"/>
    </row>
    <row r="13" spans="1:11" ht="42.75" x14ac:dyDescent="0.25">
      <c r="A13" s="6" t="s">
        <v>66</v>
      </c>
      <c r="B13" s="6" t="s">
        <v>67</v>
      </c>
      <c r="C13" s="6" t="s">
        <v>24</v>
      </c>
      <c r="D13" s="6" t="s">
        <v>68</v>
      </c>
      <c r="E13" s="6" t="s">
        <v>69</v>
      </c>
      <c r="F13" s="7" t="s">
        <v>112</v>
      </c>
      <c r="G13" s="7" t="s">
        <v>28</v>
      </c>
      <c r="H13" s="7"/>
      <c r="I13" s="7"/>
      <c r="J13" s="7"/>
      <c r="K13" s="7"/>
    </row>
    <row r="14" spans="1:11" ht="28.5" x14ac:dyDescent="0.25">
      <c r="A14" s="6" t="s">
        <v>70</v>
      </c>
      <c r="B14" s="6" t="s">
        <v>71</v>
      </c>
      <c r="C14" s="6" t="s">
        <v>24</v>
      </c>
      <c r="D14" s="6" t="s">
        <v>72</v>
      </c>
      <c r="E14" s="6" t="s">
        <v>73</v>
      </c>
      <c r="F14" s="7" t="s">
        <v>113</v>
      </c>
      <c r="G14" s="7" t="s">
        <v>28</v>
      </c>
      <c r="H14" s="7"/>
      <c r="I14" s="7"/>
      <c r="J14" s="7"/>
      <c r="K14" s="7"/>
    </row>
    <row r="15" spans="1:11" ht="42.75" x14ac:dyDescent="0.25">
      <c r="A15" s="6" t="s">
        <v>32</v>
      </c>
      <c r="B15" s="6" t="s">
        <v>33</v>
      </c>
      <c r="C15" s="6" t="s">
        <v>74</v>
      </c>
      <c r="D15" s="6" t="s">
        <v>34</v>
      </c>
      <c r="E15" s="6" t="s">
        <v>35</v>
      </c>
      <c r="F15" s="7" t="s">
        <v>115</v>
      </c>
      <c r="G15" s="7" t="s">
        <v>28</v>
      </c>
      <c r="H15" s="7"/>
      <c r="I15" s="7"/>
      <c r="J15" s="7"/>
      <c r="K15" s="7"/>
    </row>
    <row r="16" spans="1:11" ht="42.75" x14ac:dyDescent="0.25">
      <c r="A16" s="6" t="s">
        <v>36</v>
      </c>
      <c r="B16" s="6" t="s">
        <v>33</v>
      </c>
      <c r="C16" s="6" t="s">
        <v>74</v>
      </c>
      <c r="D16" s="6" t="s">
        <v>37</v>
      </c>
      <c r="E16" s="6" t="s">
        <v>38</v>
      </c>
      <c r="F16" s="7" t="s">
        <v>116</v>
      </c>
      <c r="G16" s="7" t="s">
        <v>28</v>
      </c>
      <c r="H16" s="7"/>
      <c r="I16" s="7"/>
      <c r="J16" s="7"/>
      <c r="K16" s="7"/>
    </row>
    <row r="17" spans="1:11" ht="28.5" x14ac:dyDescent="0.25">
      <c r="A17" s="6" t="s">
        <v>39</v>
      </c>
      <c r="B17" s="6" t="s">
        <v>40</v>
      </c>
      <c r="C17" s="6" t="s">
        <v>74</v>
      </c>
      <c r="D17" s="6" t="s">
        <v>41</v>
      </c>
      <c r="E17" s="6" t="s">
        <v>42</v>
      </c>
      <c r="F17" s="7" t="s">
        <v>117</v>
      </c>
      <c r="G17" s="7" t="s">
        <v>28</v>
      </c>
      <c r="H17" s="7"/>
      <c r="I17" s="7"/>
      <c r="J17" s="7"/>
      <c r="K17" s="7"/>
    </row>
    <row r="18" spans="1:11" x14ac:dyDescent="0.25">
      <c r="A18" s="6" t="s">
        <v>43</v>
      </c>
      <c r="B18" s="6" t="s">
        <v>23</v>
      </c>
      <c r="C18" s="6" t="s">
        <v>74</v>
      </c>
      <c r="D18" s="6" t="s">
        <v>44</v>
      </c>
      <c r="E18" s="6" t="s">
        <v>26</v>
      </c>
      <c r="F18" s="7" t="s">
        <v>108</v>
      </c>
      <c r="G18" s="7" t="s">
        <v>28</v>
      </c>
      <c r="H18" s="7"/>
      <c r="I18" s="7"/>
      <c r="J18" s="7"/>
      <c r="K18" s="7"/>
    </row>
    <row r="19" spans="1:11" ht="28.5" x14ac:dyDescent="0.25">
      <c r="A19" s="6" t="s">
        <v>45</v>
      </c>
      <c r="B19" s="6" t="s">
        <v>23</v>
      </c>
      <c r="C19" s="6" t="s">
        <v>74</v>
      </c>
      <c r="D19" s="6" t="s">
        <v>46</v>
      </c>
      <c r="E19" s="6" t="s">
        <v>47</v>
      </c>
      <c r="F19" s="15" t="s">
        <v>121</v>
      </c>
      <c r="G19" s="7" t="s">
        <v>28</v>
      </c>
      <c r="H19" s="7"/>
      <c r="I19" s="7"/>
      <c r="J19" s="7"/>
      <c r="K19" s="7"/>
    </row>
    <row r="20" spans="1:11" ht="28.5" x14ac:dyDescent="0.25">
      <c r="A20" s="6" t="s">
        <v>48</v>
      </c>
      <c r="B20" s="6" t="s">
        <v>49</v>
      </c>
      <c r="C20" s="6" t="s">
        <v>74</v>
      </c>
      <c r="D20" s="6" t="s">
        <v>50</v>
      </c>
      <c r="E20" s="6" t="s">
        <v>51</v>
      </c>
      <c r="F20" s="7" t="s">
        <v>118</v>
      </c>
      <c r="G20" s="7" t="s">
        <v>28</v>
      </c>
      <c r="H20" s="7"/>
      <c r="I20" s="7"/>
      <c r="J20" s="7"/>
      <c r="K20" s="7"/>
    </row>
    <row r="21" spans="1:11" ht="28.5" x14ac:dyDescent="0.25">
      <c r="A21" s="6" t="s">
        <v>52</v>
      </c>
      <c r="B21" s="6" t="s">
        <v>53</v>
      </c>
      <c r="C21" s="6" t="s">
        <v>74</v>
      </c>
      <c r="D21" s="6" t="s">
        <v>54</v>
      </c>
      <c r="E21" s="6" t="s">
        <v>55</v>
      </c>
      <c r="F21" s="7" t="s">
        <v>109</v>
      </c>
      <c r="G21" s="7" t="s">
        <v>28</v>
      </c>
      <c r="H21" s="7"/>
      <c r="I21" s="7"/>
      <c r="J21" s="7"/>
      <c r="K21" s="7"/>
    </row>
    <row r="22" spans="1:11" ht="28.5" x14ac:dyDescent="0.25">
      <c r="A22" s="6" t="s">
        <v>56</v>
      </c>
      <c r="B22" s="6" t="s">
        <v>53</v>
      </c>
      <c r="C22" s="6" t="s">
        <v>74</v>
      </c>
      <c r="D22" s="6" t="s">
        <v>57</v>
      </c>
      <c r="E22" s="6" t="s">
        <v>58</v>
      </c>
      <c r="F22" s="7" t="s">
        <v>110</v>
      </c>
      <c r="G22" s="7" t="s">
        <v>28</v>
      </c>
      <c r="H22" s="7"/>
      <c r="I22" s="7"/>
      <c r="J22" s="7"/>
      <c r="K22" s="7"/>
    </row>
    <row r="23" spans="1:11" ht="28.5" x14ac:dyDescent="0.25">
      <c r="A23" s="6" t="s">
        <v>59</v>
      </c>
      <c r="B23" s="6" t="s">
        <v>53</v>
      </c>
      <c r="C23" s="6" t="s">
        <v>74</v>
      </c>
      <c r="D23" s="6" t="s">
        <v>60</v>
      </c>
      <c r="E23" s="6" t="s">
        <v>61</v>
      </c>
      <c r="F23" s="7" t="s">
        <v>111</v>
      </c>
      <c r="G23" s="7" t="s">
        <v>28</v>
      </c>
      <c r="H23" s="7"/>
      <c r="I23" s="7"/>
      <c r="J23" s="7"/>
      <c r="K23" s="7"/>
    </row>
    <row r="24" spans="1:11" ht="28.5" x14ac:dyDescent="0.25">
      <c r="A24" s="6" t="s">
        <v>62</v>
      </c>
      <c r="B24" s="6" t="s">
        <v>63</v>
      </c>
      <c r="C24" s="6" t="s">
        <v>74</v>
      </c>
      <c r="D24" s="6" t="s">
        <v>64</v>
      </c>
      <c r="E24" s="6" t="s">
        <v>65</v>
      </c>
      <c r="F24" s="7" t="s">
        <v>114</v>
      </c>
      <c r="G24" s="7" t="s">
        <v>28</v>
      </c>
      <c r="H24" s="7"/>
      <c r="I24" s="7"/>
      <c r="J24" s="7"/>
      <c r="K24" s="7"/>
    </row>
    <row r="25" spans="1:11" ht="42.75" x14ac:dyDescent="0.25">
      <c r="A25" s="6" t="s">
        <v>66</v>
      </c>
      <c r="B25" s="6" t="s">
        <v>67</v>
      </c>
      <c r="C25" s="6" t="s">
        <v>74</v>
      </c>
      <c r="D25" s="6" t="s">
        <v>68</v>
      </c>
      <c r="E25" s="6" t="s">
        <v>69</v>
      </c>
      <c r="F25" s="7" t="s">
        <v>112</v>
      </c>
      <c r="G25" s="7" t="s">
        <v>28</v>
      </c>
      <c r="H25" s="7"/>
      <c r="I25" s="7"/>
      <c r="J25" s="7"/>
      <c r="K25" s="7"/>
    </row>
    <row r="26" spans="1:11" ht="28.5" x14ac:dyDescent="0.25">
      <c r="A26" s="6" t="s">
        <v>70</v>
      </c>
      <c r="B26" s="6" t="s">
        <v>71</v>
      </c>
      <c r="C26" s="6" t="s">
        <v>74</v>
      </c>
      <c r="D26" s="6" t="s">
        <v>72</v>
      </c>
      <c r="E26" s="6" t="s">
        <v>73</v>
      </c>
      <c r="F26" s="7" t="s">
        <v>113</v>
      </c>
      <c r="G26" s="7" t="s">
        <v>28</v>
      </c>
      <c r="H26" s="7"/>
      <c r="I26" s="7"/>
      <c r="J26" s="7"/>
      <c r="K26" s="7"/>
    </row>
    <row r="27" spans="1:11" ht="42.75" x14ac:dyDescent="0.25">
      <c r="A27" s="6" t="s">
        <v>32</v>
      </c>
      <c r="B27" s="6" t="s">
        <v>33</v>
      </c>
      <c r="C27" s="6" t="s">
        <v>75</v>
      </c>
      <c r="D27" s="6" t="s">
        <v>34</v>
      </c>
      <c r="E27" s="6" t="s">
        <v>35</v>
      </c>
      <c r="F27" s="7"/>
      <c r="G27" s="7" t="s">
        <v>77</v>
      </c>
      <c r="H27" s="15" t="s">
        <v>123</v>
      </c>
      <c r="I27" s="7"/>
      <c r="J27" s="7"/>
      <c r="K27" s="7"/>
    </row>
    <row r="28" spans="1:11" ht="42.75" x14ac:dyDescent="0.25">
      <c r="A28" s="6" t="s">
        <v>36</v>
      </c>
      <c r="B28" s="6" t="s">
        <v>33</v>
      </c>
      <c r="C28" s="6" t="s">
        <v>75</v>
      </c>
      <c r="D28" s="6" t="s">
        <v>37</v>
      </c>
      <c r="E28" s="6" t="s">
        <v>38</v>
      </c>
      <c r="F28" s="7"/>
      <c r="G28" s="7" t="s">
        <v>77</v>
      </c>
      <c r="H28" s="15" t="s">
        <v>123</v>
      </c>
      <c r="I28" s="7"/>
      <c r="J28" s="7"/>
      <c r="K28" s="7"/>
    </row>
    <row r="29" spans="1:11" ht="28.5" x14ac:dyDescent="0.25">
      <c r="A29" s="6" t="s">
        <v>39</v>
      </c>
      <c r="B29" s="6" t="s">
        <v>40</v>
      </c>
      <c r="C29" s="6" t="s">
        <v>75</v>
      </c>
      <c r="D29" s="6" t="s">
        <v>41</v>
      </c>
      <c r="E29" s="6" t="s">
        <v>42</v>
      </c>
      <c r="F29" s="7"/>
      <c r="G29" s="7" t="s">
        <v>77</v>
      </c>
      <c r="H29" s="15" t="s">
        <v>123</v>
      </c>
      <c r="I29" s="7"/>
      <c r="J29" s="7"/>
      <c r="K29" s="7"/>
    </row>
    <row r="30" spans="1:11" x14ac:dyDescent="0.25">
      <c r="A30" s="6" t="s">
        <v>43</v>
      </c>
      <c r="B30" s="6" t="s">
        <v>23</v>
      </c>
      <c r="C30" s="6" t="s">
        <v>75</v>
      </c>
      <c r="D30" s="6" t="s">
        <v>44</v>
      </c>
      <c r="E30" s="6" t="s">
        <v>26</v>
      </c>
      <c r="F30" s="7"/>
      <c r="G30" s="7" t="s">
        <v>77</v>
      </c>
      <c r="H30" s="15" t="s">
        <v>123</v>
      </c>
      <c r="I30" s="7"/>
      <c r="J30" s="7"/>
      <c r="K30" s="7"/>
    </row>
    <row r="31" spans="1:11" ht="28.5" x14ac:dyDescent="0.25">
      <c r="A31" s="6" t="s">
        <v>45</v>
      </c>
      <c r="B31" s="6" t="s">
        <v>23</v>
      </c>
      <c r="C31" s="6" t="s">
        <v>75</v>
      </c>
      <c r="D31" s="6" t="s">
        <v>46</v>
      </c>
      <c r="E31" s="6" t="s">
        <v>47</v>
      </c>
      <c r="F31" s="7"/>
      <c r="G31" s="7" t="s">
        <v>77</v>
      </c>
      <c r="H31" s="15" t="s">
        <v>123</v>
      </c>
      <c r="I31" s="7"/>
      <c r="J31" s="7"/>
      <c r="K31" s="7"/>
    </row>
    <row r="32" spans="1:11" ht="28.5" x14ac:dyDescent="0.25">
      <c r="A32" s="6" t="s">
        <v>48</v>
      </c>
      <c r="B32" s="6" t="s">
        <v>49</v>
      </c>
      <c r="C32" s="6" t="s">
        <v>75</v>
      </c>
      <c r="D32" s="6" t="s">
        <v>50</v>
      </c>
      <c r="E32" s="6" t="s">
        <v>51</v>
      </c>
      <c r="F32" s="7"/>
      <c r="G32" s="7" t="s">
        <v>77</v>
      </c>
      <c r="H32" s="15" t="s">
        <v>123</v>
      </c>
      <c r="I32" s="7"/>
      <c r="J32" s="7"/>
      <c r="K32" s="7"/>
    </row>
    <row r="33" spans="1:11" ht="28.5" x14ac:dyDescent="0.25">
      <c r="A33" s="6" t="s">
        <v>52</v>
      </c>
      <c r="B33" s="6" t="s">
        <v>53</v>
      </c>
      <c r="C33" s="6" t="s">
        <v>75</v>
      </c>
      <c r="D33" s="6" t="s">
        <v>54</v>
      </c>
      <c r="E33" s="6" t="s">
        <v>55</v>
      </c>
      <c r="F33" s="7"/>
      <c r="G33" s="7" t="s">
        <v>77</v>
      </c>
      <c r="H33" s="15" t="s">
        <v>123</v>
      </c>
      <c r="I33" s="7"/>
      <c r="J33" s="7"/>
      <c r="K33" s="7"/>
    </row>
    <row r="34" spans="1:11" ht="28.5" x14ac:dyDescent="0.25">
      <c r="A34" s="6" t="s">
        <v>56</v>
      </c>
      <c r="B34" s="6" t="s">
        <v>53</v>
      </c>
      <c r="C34" s="6" t="s">
        <v>75</v>
      </c>
      <c r="D34" s="6" t="s">
        <v>57</v>
      </c>
      <c r="E34" s="6" t="s">
        <v>58</v>
      </c>
      <c r="F34" s="7"/>
      <c r="G34" s="7" t="s">
        <v>77</v>
      </c>
      <c r="H34" s="15" t="s">
        <v>123</v>
      </c>
      <c r="I34" s="7"/>
      <c r="J34" s="7"/>
      <c r="K34" s="7"/>
    </row>
    <row r="35" spans="1:11" ht="28.5" x14ac:dyDescent="0.25">
      <c r="A35" s="6" t="s">
        <v>59</v>
      </c>
      <c r="B35" s="6" t="s">
        <v>53</v>
      </c>
      <c r="C35" s="6" t="s">
        <v>75</v>
      </c>
      <c r="D35" s="6" t="s">
        <v>60</v>
      </c>
      <c r="E35" s="6" t="s">
        <v>61</v>
      </c>
      <c r="F35" s="7"/>
      <c r="G35" s="7" t="s">
        <v>77</v>
      </c>
      <c r="H35" s="15" t="s">
        <v>123</v>
      </c>
      <c r="I35" s="7"/>
      <c r="J35" s="7"/>
      <c r="K35" s="7"/>
    </row>
    <row r="36" spans="1:11" ht="28.5" x14ac:dyDescent="0.25">
      <c r="A36" s="6" t="s">
        <v>62</v>
      </c>
      <c r="B36" s="6" t="s">
        <v>63</v>
      </c>
      <c r="C36" s="6" t="s">
        <v>75</v>
      </c>
      <c r="D36" s="6" t="s">
        <v>64</v>
      </c>
      <c r="E36" s="6" t="s">
        <v>65</v>
      </c>
      <c r="F36" s="7"/>
      <c r="G36" s="7" t="s">
        <v>77</v>
      </c>
      <c r="H36" s="15" t="s">
        <v>123</v>
      </c>
      <c r="I36" s="7"/>
      <c r="J36" s="7"/>
      <c r="K36" s="7"/>
    </row>
    <row r="37" spans="1:11" ht="42.75" x14ac:dyDescent="0.25">
      <c r="A37" s="6" t="s">
        <v>66</v>
      </c>
      <c r="B37" s="6" t="s">
        <v>67</v>
      </c>
      <c r="C37" s="6" t="s">
        <v>75</v>
      </c>
      <c r="D37" s="6" t="s">
        <v>68</v>
      </c>
      <c r="E37" s="6" t="s">
        <v>69</v>
      </c>
      <c r="F37" s="7"/>
      <c r="G37" s="7" t="s">
        <v>77</v>
      </c>
      <c r="H37" s="15" t="s">
        <v>123</v>
      </c>
      <c r="I37" s="7"/>
      <c r="J37" s="7"/>
      <c r="K37" s="7"/>
    </row>
    <row r="38" spans="1:11" ht="28.5" x14ac:dyDescent="0.25">
      <c r="A38" s="6" t="s">
        <v>70</v>
      </c>
      <c r="B38" s="6" t="s">
        <v>71</v>
      </c>
      <c r="C38" s="6" t="s">
        <v>75</v>
      </c>
      <c r="D38" s="6" t="s">
        <v>72</v>
      </c>
      <c r="E38" s="6" t="s">
        <v>73</v>
      </c>
      <c r="F38" s="7"/>
      <c r="G38" s="7" t="s">
        <v>77</v>
      </c>
      <c r="H38" s="15" t="s">
        <v>123</v>
      </c>
      <c r="I38" s="7"/>
      <c r="J38" s="7"/>
      <c r="K38" s="7"/>
    </row>
    <row r="39" spans="1:11" ht="42.75" x14ac:dyDescent="0.25">
      <c r="A39" s="6" t="s">
        <v>32</v>
      </c>
      <c r="B39" s="6" t="s">
        <v>33</v>
      </c>
      <c r="C39" s="6" t="s">
        <v>76</v>
      </c>
      <c r="D39" s="6" t="s">
        <v>34</v>
      </c>
      <c r="E39" s="6" t="s">
        <v>35</v>
      </c>
      <c r="F39" s="7"/>
      <c r="G39" s="7" t="s">
        <v>77</v>
      </c>
      <c r="H39" s="7" t="s">
        <v>78</v>
      </c>
      <c r="I39" s="7"/>
      <c r="J39" s="7"/>
      <c r="K39" s="7"/>
    </row>
    <row r="40" spans="1:11" ht="42.75" x14ac:dyDescent="0.25">
      <c r="A40" s="6" t="s">
        <v>36</v>
      </c>
      <c r="B40" s="6" t="s">
        <v>33</v>
      </c>
      <c r="C40" s="6" t="s">
        <v>76</v>
      </c>
      <c r="D40" s="6" t="s">
        <v>37</v>
      </c>
      <c r="E40" s="6" t="s">
        <v>38</v>
      </c>
      <c r="F40" s="7"/>
      <c r="G40" s="7" t="s">
        <v>77</v>
      </c>
      <c r="H40" s="7" t="s">
        <v>78</v>
      </c>
      <c r="I40" s="7"/>
      <c r="J40" s="7"/>
      <c r="K40" s="7"/>
    </row>
    <row r="41" spans="1:11" ht="28.5" x14ac:dyDescent="0.25">
      <c r="A41" s="6" t="s">
        <v>39</v>
      </c>
      <c r="B41" s="6" t="s">
        <v>40</v>
      </c>
      <c r="C41" s="6" t="s">
        <v>76</v>
      </c>
      <c r="D41" s="6" t="s">
        <v>41</v>
      </c>
      <c r="E41" s="6" t="s">
        <v>42</v>
      </c>
      <c r="F41" s="7"/>
      <c r="G41" s="7" t="s">
        <v>77</v>
      </c>
      <c r="H41" s="7" t="s">
        <v>78</v>
      </c>
      <c r="I41" s="7"/>
      <c r="J41" s="7"/>
      <c r="K41" s="7"/>
    </row>
    <row r="42" spans="1:11" ht="28.5" x14ac:dyDescent="0.25">
      <c r="A42" s="6" t="s">
        <v>43</v>
      </c>
      <c r="B42" s="6" t="s">
        <v>23</v>
      </c>
      <c r="C42" s="6" t="s">
        <v>76</v>
      </c>
      <c r="D42" s="6" t="s">
        <v>44</v>
      </c>
      <c r="E42" s="6" t="s">
        <v>26</v>
      </c>
      <c r="F42" s="7"/>
      <c r="G42" s="7" t="s">
        <v>77</v>
      </c>
      <c r="H42" s="7" t="s">
        <v>78</v>
      </c>
      <c r="I42" s="7"/>
      <c r="J42" s="7"/>
      <c r="K42" s="7"/>
    </row>
    <row r="43" spans="1:11" ht="28.5" x14ac:dyDescent="0.25">
      <c r="A43" s="6" t="s">
        <v>45</v>
      </c>
      <c r="B43" s="6" t="s">
        <v>23</v>
      </c>
      <c r="C43" s="6" t="s">
        <v>76</v>
      </c>
      <c r="D43" s="6" t="s">
        <v>46</v>
      </c>
      <c r="E43" s="6" t="s">
        <v>47</v>
      </c>
      <c r="F43" s="7"/>
      <c r="G43" s="7" t="s">
        <v>77</v>
      </c>
      <c r="H43" s="7" t="s">
        <v>78</v>
      </c>
      <c r="I43" s="7"/>
      <c r="J43" s="7"/>
      <c r="K43" s="7"/>
    </row>
    <row r="44" spans="1:11" ht="28.5" x14ac:dyDescent="0.25">
      <c r="A44" s="6" t="s">
        <v>48</v>
      </c>
      <c r="B44" s="6" t="s">
        <v>49</v>
      </c>
      <c r="C44" s="6" t="s">
        <v>76</v>
      </c>
      <c r="D44" s="6" t="s">
        <v>50</v>
      </c>
      <c r="E44" s="6" t="s">
        <v>51</v>
      </c>
      <c r="F44" s="7"/>
      <c r="G44" s="7" t="s">
        <v>77</v>
      </c>
      <c r="H44" s="7" t="s">
        <v>78</v>
      </c>
      <c r="I44" s="7"/>
      <c r="J44" s="7"/>
      <c r="K44" s="7"/>
    </row>
    <row r="45" spans="1:11" ht="28.5" x14ac:dyDescent="0.25">
      <c r="A45" s="6" t="s">
        <v>52</v>
      </c>
      <c r="B45" s="6" t="s">
        <v>53</v>
      </c>
      <c r="C45" s="6" t="s">
        <v>76</v>
      </c>
      <c r="D45" s="6" t="s">
        <v>54</v>
      </c>
      <c r="E45" s="6" t="s">
        <v>55</v>
      </c>
      <c r="F45" s="7"/>
      <c r="G45" s="7" t="s">
        <v>77</v>
      </c>
      <c r="H45" s="7" t="s">
        <v>78</v>
      </c>
      <c r="I45" s="7"/>
      <c r="J45" s="7"/>
      <c r="K45" s="7"/>
    </row>
    <row r="46" spans="1:11" ht="28.5" x14ac:dyDescent="0.25">
      <c r="A46" s="6" t="s">
        <v>56</v>
      </c>
      <c r="B46" s="6" t="s">
        <v>53</v>
      </c>
      <c r="C46" s="6" t="s">
        <v>76</v>
      </c>
      <c r="D46" s="6" t="s">
        <v>57</v>
      </c>
      <c r="E46" s="6" t="s">
        <v>58</v>
      </c>
      <c r="F46" s="7"/>
      <c r="G46" s="7" t="s">
        <v>77</v>
      </c>
      <c r="H46" s="7" t="s">
        <v>78</v>
      </c>
      <c r="I46" s="7"/>
      <c r="J46" s="7"/>
      <c r="K46" s="7"/>
    </row>
    <row r="47" spans="1:11" ht="28.5" x14ac:dyDescent="0.25">
      <c r="A47" s="6" t="s">
        <v>59</v>
      </c>
      <c r="B47" s="6" t="s">
        <v>53</v>
      </c>
      <c r="C47" s="6" t="s">
        <v>76</v>
      </c>
      <c r="D47" s="6" t="s">
        <v>60</v>
      </c>
      <c r="E47" s="6" t="s">
        <v>61</v>
      </c>
      <c r="F47" s="7"/>
      <c r="G47" s="7" t="s">
        <v>77</v>
      </c>
      <c r="H47" s="7" t="s">
        <v>78</v>
      </c>
      <c r="I47" s="7"/>
      <c r="J47" s="7"/>
      <c r="K47" s="7"/>
    </row>
    <row r="48" spans="1:11" ht="28.5" x14ac:dyDescent="0.25">
      <c r="A48" s="6" t="s">
        <v>62</v>
      </c>
      <c r="B48" s="6" t="s">
        <v>63</v>
      </c>
      <c r="C48" s="6" t="s">
        <v>76</v>
      </c>
      <c r="D48" s="6" t="s">
        <v>64</v>
      </c>
      <c r="E48" s="6" t="s">
        <v>65</v>
      </c>
      <c r="F48" s="7"/>
      <c r="G48" s="7" t="s">
        <v>77</v>
      </c>
      <c r="H48" s="7" t="s">
        <v>78</v>
      </c>
      <c r="I48" s="7"/>
      <c r="J48" s="7"/>
      <c r="K48" s="7"/>
    </row>
    <row r="49" spans="1:11" ht="42.75" x14ac:dyDescent="0.25">
      <c r="A49" s="6" t="s">
        <v>66</v>
      </c>
      <c r="B49" s="6" t="s">
        <v>67</v>
      </c>
      <c r="C49" s="6" t="s">
        <v>76</v>
      </c>
      <c r="D49" s="6" t="s">
        <v>68</v>
      </c>
      <c r="E49" s="6" t="s">
        <v>69</v>
      </c>
      <c r="F49" s="7"/>
      <c r="G49" s="7" t="s">
        <v>77</v>
      </c>
      <c r="H49" s="7" t="s">
        <v>78</v>
      </c>
      <c r="I49" s="7"/>
      <c r="J49" s="7"/>
      <c r="K49" s="7"/>
    </row>
    <row r="50" spans="1:11" ht="28.5" x14ac:dyDescent="0.25">
      <c r="A50" s="6" t="s">
        <v>70</v>
      </c>
      <c r="B50" s="6" t="s">
        <v>71</v>
      </c>
      <c r="C50" s="6" t="s">
        <v>76</v>
      </c>
      <c r="D50" s="6" t="s">
        <v>72</v>
      </c>
      <c r="E50" s="6" t="s">
        <v>73</v>
      </c>
      <c r="F50" s="7"/>
      <c r="G50" s="7" t="s">
        <v>77</v>
      </c>
      <c r="H50" s="7" t="s">
        <v>78</v>
      </c>
      <c r="I50" s="7"/>
      <c r="J50" s="7"/>
      <c r="K50" s="7"/>
    </row>
    <row r="51" spans="1:11" ht="28.5" x14ac:dyDescent="0.25">
      <c r="A51" s="6" t="s">
        <v>79</v>
      </c>
      <c r="B51" s="6" t="s">
        <v>80</v>
      </c>
      <c r="C51" s="6" t="s">
        <v>81</v>
      </c>
      <c r="D51" s="6" t="s">
        <v>82</v>
      </c>
      <c r="E51" s="6" t="s">
        <v>83</v>
      </c>
      <c r="F51" s="15" t="s">
        <v>119</v>
      </c>
      <c r="G51" s="7" t="s">
        <v>28</v>
      </c>
      <c r="H51" s="7"/>
      <c r="I51" s="7"/>
      <c r="J51" s="7"/>
      <c r="K51" s="7"/>
    </row>
    <row r="52" spans="1:11" ht="42.75" x14ac:dyDescent="0.25">
      <c r="A52" s="6" t="s">
        <v>84</v>
      </c>
      <c r="B52" s="6" t="s">
        <v>85</v>
      </c>
      <c r="C52" s="6" t="s">
        <v>24</v>
      </c>
      <c r="D52" s="6" t="s">
        <v>86</v>
      </c>
      <c r="E52" s="6" t="s">
        <v>87</v>
      </c>
      <c r="F52" s="15" t="s">
        <v>120</v>
      </c>
      <c r="G52" s="7" t="s">
        <v>28</v>
      </c>
      <c r="H52" s="7"/>
      <c r="I52" s="7"/>
      <c r="J52" s="7"/>
      <c r="K52" s="7"/>
    </row>
  </sheetData>
  <autoFilter ref="A1:K52" xr:uid="{00000000-0009-0000-0000-000001000000}"/>
  <dataValidations count="1">
    <dataValidation type="list" allowBlank="1" sqref="G3:G52" xr:uid="{00000000-0002-0000-0100-000000000000}">
      <formula1>"Pass,Fail,Partial,Not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 x14ac:dyDescent="0.25"/>
  <cols>
    <col min="1" max="1" width="8" customWidth="1"/>
    <col min="2" max="2" width="10" customWidth="1"/>
    <col min="3" max="3" width="7" customWidth="1"/>
    <col min="4" max="4" width="22" customWidth="1"/>
    <col min="5" max="5" width="26" customWidth="1"/>
    <col min="6" max="6" width="10" customWidth="1"/>
    <col min="7" max="7" width="14" customWidth="1"/>
    <col min="8" max="8" width="30" customWidth="1"/>
  </cols>
  <sheetData>
    <row r="1" spans="1:8" ht="30" x14ac:dyDescent="0.25">
      <c r="A1" s="4" t="s">
        <v>88</v>
      </c>
      <c r="B1" s="4" t="s">
        <v>13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18</v>
      </c>
    </row>
    <row r="2" spans="1:8" x14ac:dyDescent="0.25">
      <c r="A2" s="8" t="s">
        <v>52</v>
      </c>
      <c r="B2" s="8" t="s">
        <v>24</v>
      </c>
      <c r="C2" s="8">
        <v>1</v>
      </c>
      <c r="D2" s="8" t="s">
        <v>94</v>
      </c>
      <c r="E2" s="9" t="s">
        <v>94</v>
      </c>
      <c r="F2" s="8" t="str">
        <f t="shared" ref="F2:F19" si="0">IF(E2="","",IF(E2=D2,"Yes","No"))</f>
        <v>Yes</v>
      </c>
      <c r="G2" s="9">
        <v>62</v>
      </c>
      <c r="H2" s="9"/>
    </row>
    <row r="3" spans="1:8" x14ac:dyDescent="0.25">
      <c r="A3" s="8" t="s">
        <v>52</v>
      </c>
      <c r="B3" s="8" t="s">
        <v>24</v>
      </c>
      <c r="C3" s="8">
        <v>2</v>
      </c>
      <c r="D3" s="8" t="s">
        <v>94</v>
      </c>
      <c r="E3" s="9" t="s">
        <v>94</v>
      </c>
      <c r="F3" s="8" t="str">
        <f t="shared" si="0"/>
        <v>Yes</v>
      </c>
      <c r="G3" s="9">
        <v>90</v>
      </c>
      <c r="H3" s="9"/>
    </row>
    <row r="4" spans="1:8" x14ac:dyDescent="0.25">
      <c r="A4" s="8" t="s">
        <v>52</v>
      </c>
      <c r="B4" s="8" t="s">
        <v>24</v>
      </c>
      <c r="C4" s="8">
        <v>3</v>
      </c>
      <c r="D4" s="8" t="s">
        <v>94</v>
      </c>
      <c r="E4" s="9" t="s">
        <v>94</v>
      </c>
      <c r="F4" s="8" t="str">
        <f t="shared" si="0"/>
        <v>Yes</v>
      </c>
      <c r="G4" s="9">
        <v>95</v>
      </c>
      <c r="H4" s="9"/>
    </row>
    <row r="5" spans="1:8" x14ac:dyDescent="0.25">
      <c r="A5" s="8" t="s">
        <v>56</v>
      </c>
      <c r="B5" s="8" t="s">
        <v>24</v>
      </c>
      <c r="C5" s="8">
        <v>1</v>
      </c>
      <c r="D5" s="8" t="s">
        <v>95</v>
      </c>
      <c r="E5" s="9" t="s">
        <v>95</v>
      </c>
      <c r="F5" s="8" t="str">
        <f t="shared" si="0"/>
        <v>Yes</v>
      </c>
      <c r="G5" s="9">
        <v>74</v>
      </c>
      <c r="H5" s="9"/>
    </row>
    <row r="6" spans="1:8" x14ac:dyDescent="0.25">
      <c r="A6" s="8" t="s">
        <v>56</v>
      </c>
      <c r="B6" s="8" t="s">
        <v>24</v>
      </c>
      <c r="C6" s="8">
        <v>2</v>
      </c>
      <c r="D6" s="8" t="s">
        <v>95</v>
      </c>
      <c r="E6" s="9" t="s">
        <v>95</v>
      </c>
      <c r="F6" s="8" t="str">
        <f t="shared" si="0"/>
        <v>Yes</v>
      </c>
      <c r="G6" s="9">
        <v>92</v>
      </c>
      <c r="H6" s="9"/>
    </row>
    <row r="7" spans="1:8" x14ac:dyDescent="0.25">
      <c r="A7" s="8" t="s">
        <v>56</v>
      </c>
      <c r="B7" s="8" t="s">
        <v>24</v>
      </c>
      <c r="C7" s="8">
        <v>3</v>
      </c>
      <c r="D7" s="8" t="s">
        <v>95</v>
      </c>
      <c r="E7" s="9" t="s">
        <v>95</v>
      </c>
      <c r="F7" s="8" t="str">
        <f t="shared" si="0"/>
        <v>Yes</v>
      </c>
      <c r="G7" s="9">
        <v>90</v>
      </c>
      <c r="H7" s="9"/>
    </row>
    <row r="8" spans="1:8" x14ac:dyDescent="0.25">
      <c r="A8" s="8" t="s">
        <v>59</v>
      </c>
      <c r="B8" s="8" t="s">
        <v>24</v>
      </c>
      <c r="C8" s="8">
        <v>1</v>
      </c>
      <c r="D8" s="8" t="s">
        <v>96</v>
      </c>
      <c r="E8" s="9" t="s">
        <v>96</v>
      </c>
      <c r="F8" s="8" t="str">
        <f t="shared" si="0"/>
        <v>Yes</v>
      </c>
      <c r="G8" s="9">
        <v>72</v>
      </c>
      <c r="H8" s="9"/>
    </row>
    <row r="9" spans="1:8" x14ac:dyDescent="0.25">
      <c r="A9" s="8" t="s">
        <v>59</v>
      </c>
      <c r="B9" s="8" t="s">
        <v>24</v>
      </c>
      <c r="C9" s="8">
        <v>2</v>
      </c>
      <c r="D9" s="8" t="s">
        <v>96</v>
      </c>
      <c r="E9" s="9" t="s">
        <v>96</v>
      </c>
      <c r="F9" s="8" t="str">
        <f t="shared" si="0"/>
        <v>Yes</v>
      </c>
      <c r="G9" s="9">
        <v>82</v>
      </c>
      <c r="H9" s="9"/>
    </row>
    <row r="10" spans="1:8" x14ac:dyDescent="0.25">
      <c r="A10" s="8" t="s">
        <v>59</v>
      </c>
      <c r="B10" s="8" t="s">
        <v>24</v>
      </c>
      <c r="C10" s="8">
        <v>3</v>
      </c>
      <c r="D10" s="8" t="s">
        <v>96</v>
      </c>
      <c r="E10" s="9" t="s">
        <v>96</v>
      </c>
      <c r="F10" s="8" t="str">
        <f t="shared" si="0"/>
        <v>Yes</v>
      </c>
      <c r="G10" s="9">
        <v>79</v>
      </c>
      <c r="H10" s="9"/>
    </row>
    <row r="11" spans="1:8" x14ac:dyDescent="0.25">
      <c r="A11" s="8" t="s">
        <v>52</v>
      </c>
      <c r="B11" s="8" t="s">
        <v>74</v>
      </c>
      <c r="C11" s="8">
        <v>1</v>
      </c>
      <c r="D11" s="8" t="s">
        <v>94</v>
      </c>
      <c r="E11" s="9" t="s">
        <v>94</v>
      </c>
      <c r="F11" s="8" t="str">
        <f t="shared" si="0"/>
        <v>Yes</v>
      </c>
      <c r="G11" s="9">
        <v>97</v>
      </c>
      <c r="H11" s="9"/>
    </row>
    <row r="12" spans="1:8" x14ac:dyDescent="0.25">
      <c r="A12" s="8" t="s">
        <v>52</v>
      </c>
      <c r="B12" s="8" t="s">
        <v>74</v>
      </c>
      <c r="C12" s="8">
        <v>2</v>
      </c>
      <c r="D12" s="8" t="s">
        <v>94</v>
      </c>
      <c r="E12" s="9" t="s">
        <v>94</v>
      </c>
      <c r="F12" s="8" t="str">
        <f t="shared" si="0"/>
        <v>Yes</v>
      </c>
      <c r="G12" s="9">
        <v>70</v>
      </c>
      <c r="H12" s="9"/>
    </row>
    <row r="13" spans="1:8" x14ac:dyDescent="0.25">
      <c r="A13" s="8" t="s">
        <v>52</v>
      </c>
      <c r="B13" s="8" t="s">
        <v>74</v>
      </c>
      <c r="C13" s="8">
        <v>3</v>
      </c>
      <c r="D13" s="8" t="s">
        <v>94</v>
      </c>
      <c r="E13" s="9" t="s">
        <v>94</v>
      </c>
      <c r="F13" s="8" t="str">
        <f t="shared" si="0"/>
        <v>Yes</v>
      </c>
      <c r="G13" s="9">
        <v>91</v>
      </c>
      <c r="H13" s="9"/>
    </row>
    <row r="14" spans="1:8" x14ac:dyDescent="0.25">
      <c r="A14" s="8" t="s">
        <v>56</v>
      </c>
      <c r="B14" s="8" t="s">
        <v>74</v>
      </c>
      <c r="C14" s="8">
        <v>1</v>
      </c>
      <c r="D14" s="8" t="s">
        <v>95</v>
      </c>
      <c r="E14" s="9" t="s">
        <v>95</v>
      </c>
      <c r="F14" s="8" t="str">
        <f t="shared" si="0"/>
        <v>Yes</v>
      </c>
      <c r="G14" s="9">
        <v>71</v>
      </c>
      <c r="H14" s="9"/>
    </row>
    <row r="15" spans="1:8" x14ac:dyDescent="0.25">
      <c r="A15" s="8" t="s">
        <v>56</v>
      </c>
      <c r="B15" s="8" t="s">
        <v>74</v>
      </c>
      <c r="C15" s="8">
        <v>2</v>
      </c>
      <c r="D15" s="8" t="s">
        <v>95</v>
      </c>
      <c r="E15" s="9" t="s">
        <v>95</v>
      </c>
      <c r="F15" s="8" t="str">
        <f t="shared" si="0"/>
        <v>Yes</v>
      </c>
      <c r="G15" s="9">
        <v>62</v>
      </c>
      <c r="H15" s="9"/>
    </row>
    <row r="16" spans="1:8" x14ac:dyDescent="0.25">
      <c r="A16" s="8" t="s">
        <v>56</v>
      </c>
      <c r="B16" s="8" t="s">
        <v>74</v>
      </c>
      <c r="C16" s="8">
        <v>3</v>
      </c>
      <c r="D16" s="8" t="s">
        <v>95</v>
      </c>
      <c r="E16" s="9" t="s">
        <v>95</v>
      </c>
      <c r="F16" s="8" t="str">
        <f t="shared" si="0"/>
        <v>Yes</v>
      </c>
      <c r="G16" s="9">
        <v>93</v>
      </c>
      <c r="H16" s="9"/>
    </row>
    <row r="17" spans="1:8" x14ac:dyDescent="0.25">
      <c r="A17" s="8" t="s">
        <v>59</v>
      </c>
      <c r="B17" s="8" t="s">
        <v>74</v>
      </c>
      <c r="C17" s="8">
        <v>1</v>
      </c>
      <c r="D17" s="8" t="s">
        <v>96</v>
      </c>
      <c r="E17" s="9" t="s">
        <v>96</v>
      </c>
      <c r="F17" s="8" t="str">
        <f t="shared" si="0"/>
        <v>Yes</v>
      </c>
      <c r="G17" s="9">
        <v>92</v>
      </c>
      <c r="H17" s="9"/>
    </row>
    <row r="18" spans="1:8" x14ac:dyDescent="0.25">
      <c r="A18" s="8" t="s">
        <v>59</v>
      </c>
      <c r="B18" s="8" t="s">
        <v>74</v>
      </c>
      <c r="C18" s="8">
        <v>2</v>
      </c>
      <c r="D18" s="8" t="s">
        <v>96</v>
      </c>
      <c r="E18" s="9" t="s">
        <v>96</v>
      </c>
      <c r="F18" s="8" t="str">
        <f t="shared" si="0"/>
        <v>Yes</v>
      </c>
      <c r="G18" s="9">
        <v>74</v>
      </c>
      <c r="H18" s="9"/>
    </row>
    <row r="19" spans="1:8" x14ac:dyDescent="0.25">
      <c r="A19" s="8" t="s">
        <v>59</v>
      </c>
      <c r="B19" s="8" t="s">
        <v>74</v>
      </c>
      <c r="C19" s="8">
        <v>3</v>
      </c>
      <c r="D19" s="8" t="s">
        <v>96</v>
      </c>
      <c r="E19" s="9" t="s">
        <v>96</v>
      </c>
      <c r="F19" s="8" t="str">
        <f t="shared" si="0"/>
        <v>Yes</v>
      </c>
      <c r="G19" s="9">
        <v>91</v>
      </c>
      <c r="H19" s="9"/>
    </row>
    <row r="21" spans="1:8" x14ac:dyDescent="0.25">
      <c r="A21" s="10" t="s">
        <v>97</v>
      </c>
    </row>
    <row r="22" spans="1:8" ht="30" x14ac:dyDescent="0.25">
      <c r="A22" s="4" t="s">
        <v>88</v>
      </c>
      <c r="B22" s="4" t="s">
        <v>13</v>
      </c>
      <c r="C22" s="4" t="s">
        <v>98</v>
      </c>
      <c r="D22" s="4" t="s">
        <v>99</v>
      </c>
      <c r="E22" s="4" t="s">
        <v>100</v>
      </c>
    </row>
    <row r="23" spans="1:8" x14ac:dyDescent="0.25">
      <c r="A23" s="8" t="s">
        <v>52</v>
      </c>
      <c r="B23" s="8" t="s">
        <v>24</v>
      </c>
      <c r="C23" s="8">
        <f t="shared" ref="C23:C28" si="1">COUNTIFS($A$2:$A$19,A23,$B$2:$B$19,B23,$F$2:$F$19,"Yes")</f>
        <v>3</v>
      </c>
      <c r="D23" s="8">
        <f t="shared" ref="D23:D28" si="2">COUNTIFS($A$2:$A$19,A23,$B$2:$B$19,B23,$E$2:$E$19,"&lt;&gt;")</f>
        <v>3</v>
      </c>
      <c r="E23" s="8" t="str">
        <f t="shared" ref="E23:E28" si="3">IF(D23=0,"",C23&amp;" of "&amp;D23&amp;" correct")</f>
        <v>3 of 3 correct</v>
      </c>
    </row>
    <row r="24" spans="1:8" x14ac:dyDescent="0.25">
      <c r="A24" s="8" t="s">
        <v>56</v>
      </c>
      <c r="B24" s="8" t="s">
        <v>24</v>
      </c>
      <c r="C24" s="8">
        <f t="shared" si="1"/>
        <v>3</v>
      </c>
      <c r="D24" s="8">
        <f t="shared" si="2"/>
        <v>3</v>
      </c>
      <c r="E24" s="8" t="str">
        <f t="shared" si="3"/>
        <v>3 of 3 correct</v>
      </c>
    </row>
    <row r="25" spans="1:8" x14ac:dyDescent="0.25">
      <c r="A25" s="8" t="s">
        <v>59</v>
      </c>
      <c r="B25" s="8" t="s">
        <v>24</v>
      </c>
      <c r="C25" s="8">
        <f t="shared" si="1"/>
        <v>3</v>
      </c>
      <c r="D25" s="8">
        <f t="shared" si="2"/>
        <v>3</v>
      </c>
      <c r="E25" s="8" t="str">
        <f t="shared" si="3"/>
        <v>3 of 3 correct</v>
      </c>
    </row>
    <row r="26" spans="1:8" x14ac:dyDescent="0.25">
      <c r="A26" s="8" t="s">
        <v>52</v>
      </c>
      <c r="B26" s="8" t="s">
        <v>74</v>
      </c>
      <c r="C26" s="8">
        <f t="shared" si="1"/>
        <v>3</v>
      </c>
      <c r="D26" s="8">
        <f t="shared" si="2"/>
        <v>3</v>
      </c>
      <c r="E26" s="8" t="str">
        <f t="shared" si="3"/>
        <v>3 of 3 correct</v>
      </c>
    </row>
    <row r="27" spans="1:8" x14ac:dyDescent="0.25">
      <c r="A27" s="8" t="s">
        <v>56</v>
      </c>
      <c r="B27" s="8" t="s">
        <v>74</v>
      </c>
      <c r="C27" s="8">
        <f t="shared" si="1"/>
        <v>3</v>
      </c>
      <c r="D27" s="8">
        <f t="shared" si="2"/>
        <v>3</v>
      </c>
      <c r="E27" s="8" t="str">
        <f t="shared" si="3"/>
        <v>3 of 3 correct</v>
      </c>
    </row>
    <row r="28" spans="1:8" x14ac:dyDescent="0.25">
      <c r="A28" s="8" t="s">
        <v>59</v>
      </c>
      <c r="B28" s="8" t="s">
        <v>74</v>
      </c>
      <c r="C28" s="8">
        <f t="shared" si="1"/>
        <v>3</v>
      </c>
      <c r="D28" s="8">
        <f t="shared" si="2"/>
        <v>3</v>
      </c>
      <c r="E28" s="8" t="str">
        <f t="shared" si="3"/>
        <v>3 of 3 correct</v>
      </c>
    </row>
  </sheetData>
  <dataValidations count="1">
    <dataValidation type="list" allowBlank="1" sqref="E2 E3 E4 E5 E6 E7 E8 E9 E10 E11 E12 E13 E14 E15 E16 E17 E18 E19" xr:uid="{00000000-0002-0000-0200-000000000000}">
      <formula1>"Good landing,Knees caving in,Leaning to the side,No landing detected"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5" x14ac:dyDescent="0.25"/>
  <cols>
    <col min="1" max="1" width="12" customWidth="1"/>
    <col min="2" max="2" width="15" customWidth="1"/>
    <col min="3" max="5" width="10" customWidth="1"/>
    <col min="6" max="6" width="12" customWidth="1"/>
    <col min="7" max="7" width="18" customWidth="1"/>
  </cols>
  <sheetData>
    <row r="1" spans="1:7" ht="30" x14ac:dyDescent="0.25">
      <c r="A1" s="4" t="s">
        <v>13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77</v>
      </c>
      <c r="G1" s="4" t="s">
        <v>105</v>
      </c>
    </row>
    <row r="2" spans="1:7" x14ac:dyDescent="0.25">
      <c r="A2" s="8" t="s">
        <v>24</v>
      </c>
      <c r="B2" s="8">
        <f>C2+D2+E2</f>
        <v>13</v>
      </c>
      <c r="C2" s="8">
        <f>COUNTIFS(Tests!$C$3:$C$52,A2,Tests!$G$3:$G$52,"Pass")</f>
        <v>13</v>
      </c>
      <c r="D2" s="8">
        <f>COUNTIFS(Tests!$C$3:$C$52,A2,Tests!$G$3:$G$52,"Partial")</f>
        <v>0</v>
      </c>
      <c r="E2" s="8">
        <f>COUNTIFS(Tests!$C$3:$C$52,A2,Tests!$G$3:$G$52,"Fail")</f>
        <v>0</v>
      </c>
      <c r="F2" s="8">
        <f>COUNTIFS(Tests!$C$3:$C$52,A2,Tests!$G$3:$G$52,"Not tested")</f>
        <v>0</v>
      </c>
      <c r="G2" s="11">
        <f>IF(B2=0,"-",C2/B2)</f>
        <v>1</v>
      </c>
    </row>
    <row r="3" spans="1:7" x14ac:dyDescent="0.25">
      <c r="A3" s="8" t="s">
        <v>74</v>
      </c>
      <c r="B3" s="8">
        <f>C3+D3+E3</f>
        <v>12</v>
      </c>
      <c r="C3" s="8">
        <f>COUNTIFS(Tests!$C$3:$C$52,A3,Tests!$G$3:$G$52,"Pass")</f>
        <v>12</v>
      </c>
      <c r="D3" s="8">
        <f>COUNTIFS(Tests!$C$3:$C$52,A3,Tests!$G$3:$G$52,"Partial")</f>
        <v>0</v>
      </c>
      <c r="E3" s="8">
        <f>COUNTIFS(Tests!$C$3:$C$52,A3,Tests!$G$3:$G$52,"Fail")</f>
        <v>0</v>
      </c>
      <c r="F3" s="8">
        <f>COUNTIFS(Tests!$C$3:$C$52,A3,Tests!$G$3:$G$52,"Not tested")</f>
        <v>0</v>
      </c>
      <c r="G3" s="11">
        <f>IF(B3=0,"-",C3/B3)</f>
        <v>1</v>
      </c>
    </row>
    <row r="4" spans="1:7" x14ac:dyDescent="0.25">
      <c r="A4" s="8" t="s">
        <v>75</v>
      </c>
      <c r="B4" s="8">
        <f>C4+D4+E4</f>
        <v>0</v>
      </c>
      <c r="C4" s="8">
        <f>COUNTIFS(Tests!$C$3:$C$52,A4,Tests!$G$3:$G$52,"Pass")</f>
        <v>0</v>
      </c>
      <c r="D4" s="8">
        <f>COUNTIFS(Tests!$C$3:$C$52,A4,Tests!$G$3:$G$52,"Partial")</f>
        <v>0</v>
      </c>
      <c r="E4" s="8">
        <f>COUNTIFS(Tests!$C$3:$C$52,A4,Tests!$G$3:$G$52,"Fail")</f>
        <v>0</v>
      </c>
      <c r="F4" s="8">
        <f>COUNTIFS(Tests!$C$3:$C$52,A4,Tests!$G$3:$G$52,"Not tested")</f>
        <v>12</v>
      </c>
      <c r="G4" s="11" t="str">
        <f>IF(B4=0,"-",C4/B4)</f>
        <v>-</v>
      </c>
    </row>
    <row r="5" spans="1:7" x14ac:dyDescent="0.25">
      <c r="A5" s="8" t="s">
        <v>76</v>
      </c>
      <c r="B5" s="8">
        <f>C5+D5+E5</f>
        <v>0</v>
      </c>
      <c r="C5" s="8">
        <f>COUNTIFS(Tests!$C$3:$C$52,A5,Tests!$G$3:$G$52,"Pass")</f>
        <v>0</v>
      </c>
      <c r="D5" s="8">
        <f>COUNTIFS(Tests!$C$3:$C$52,A5,Tests!$G$3:$G$52,"Partial")</f>
        <v>0</v>
      </c>
      <c r="E5" s="8">
        <f>COUNTIFS(Tests!$C$3:$C$52,A5,Tests!$G$3:$G$52,"Fail")</f>
        <v>0</v>
      </c>
      <c r="F5" s="8">
        <f>COUNTIFS(Tests!$C$3:$C$52,A5,Tests!$G$3:$G$52,"Not tested")</f>
        <v>12</v>
      </c>
      <c r="G5" s="11" t="str">
        <f>IF(B5=0,"-",C5/B5)</f>
        <v>-</v>
      </c>
    </row>
    <row r="6" spans="1:7" x14ac:dyDescent="0.25">
      <c r="A6" s="12" t="s">
        <v>106</v>
      </c>
      <c r="B6" s="12">
        <f>SUM(B2:B5)</f>
        <v>25</v>
      </c>
      <c r="C6" s="12">
        <f>SUM(C2:C5)</f>
        <v>25</v>
      </c>
      <c r="D6" s="12">
        <f>SUM(D2:D5)</f>
        <v>0</v>
      </c>
      <c r="E6" s="12">
        <f>SUM(E2:E5)</f>
        <v>0</v>
      </c>
      <c r="F6" s="12">
        <f>SUM(F2:F5)</f>
        <v>24</v>
      </c>
      <c r="G6" s="13">
        <f>IF(B6=0,"-",C6/B6)</f>
        <v>1</v>
      </c>
    </row>
    <row r="8" spans="1:7" x14ac:dyDescent="0.25">
      <c r="A8" s="1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Tests</vt:lpstr>
      <vt:lpstr>Classification trials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Dineth Chandima</cp:lastModifiedBy>
  <dcterms:created xsi:type="dcterms:W3CDTF">2026-10-19T02:57:58Z</dcterms:created>
  <dcterms:modified xsi:type="dcterms:W3CDTF">2026-10-19T04:17:27Z</dcterms:modified>
</cp:coreProperties>
</file>